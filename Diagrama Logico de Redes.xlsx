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duarte\Documents\Proyectos\TP-Redes\"/>
    </mc:Choice>
  </mc:AlternateContent>
  <xr:revisionPtr revIDLastSave="0" documentId="13_ncr:1_{FF3514E9-2BF1-40F5-B3BC-030DA7EAEEA7}" xr6:coauthVersionLast="47" xr6:coauthVersionMax="47" xr10:uidLastSave="{00000000-0000-0000-0000-000000000000}"/>
  <bookViews>
    <workbookView xWindow="-22410" yWindow="2910" windowWidth="21600" windowHeight="11295" xr2:uid="{00000000-000D-0000-FFFF-FFFF00000000}"/>
  </bookViews>
  <sheets>
    <sheet name="CABA" sheetId="1" r:id="rId1"/>
    <sheet name="Sede Norte" sheetId="2" r:id="rId2"/>
    <sheet name="Sede Sur" sheetId="3" r:id="rId3"/>
  </sheets>
  <definedNames>
    <definedName name="_xlnm._FilterDatabase" localSheetId="0" hidden="1">CABA!$B$2:$I$20</definedName>
    <definedName name="_xlnm._FilterDatabase" localSheetId="1" hidden="1">'Sede Norte'!$A$1:$H$7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L9" i="1"/>
  <c r="L4" i="1"/>
  <c r="L5" i="1"/>
  <c r="L6" i="1"/>
  <c r="J3" i="2"/>
  <c r="N13" i="1"/>
  <c r="L13" i="1"/>
  <c r="N12" i="1"/>
  <c r="N4" i="1"/>
  <c r="N5" i="1"/>
  <c r="N6" i="1"/>
  <c r="N7" i="1"/>
  <c r="N8" i="1"/>
  <c r="N10" i="1"/>
  <c r="N11" i="1"/>
  <c r="N3" i="1"/>
  <c r="L12" i="1"/>
  <c r="L11" i="1"/>
  <c r="L10" i="1"/>
  <c r="L8" i="1"/>
  <c r="L7" i="1"/>
  <c r="L3" i="1"/>
</calcChain>
</file>

<file path=xl/sharedStrings.xml><?xml version="1.0" encoding="utf-8"?>
<sst xmlns="http://schemas.openxmlformats.org/spreadsheetml/2006/main" count="210" uniqueCount="75">
  <si>
    <t>Subred</t>
  </si>
  <si>
    <t>IP Broadcast</t>
  </si>
  <si>
    <t>Host min. Req</t>
  </si>
  <si>
    <t>Host est.</t>
  </si>
  <si>
    <t>Dir. De red</t>
  </si>
  <si>
    <t>Primer host</t>
  </si>
  <si>
    <t>Último host</t>
  </si>
  <si>
    <t>CIDR</t>
  </si>
  <si>
    <t>10.10.0.0</t>
  </si>
  <si>
    <t>CABA</t>
  </si>
  <si>
    <t>10.10.0.1</t>
  </si>
  <si>
    <t>Tabla de potencia 2</t>
  </si>
  <si>
    <t>NORTE</t>
  </si>
  <si>
    <t>BITS de Host</t>
  </si>
  <si>
    <t>/25</t>
  </si>
  <si>
    <t>/26</t>
  </si>
  <si>
    <t>Alumnos</t>
  </si>
  <si>
    <t>Docentes</t>
  </si>
  <si>
    <t>Administracion</t>
  </si>
  <si>
    <t>Laboratorios</t>
  </si>
  <si>
    <t>Videovigilancia</t>
  </si>
  <si>
    <t>Invitados</t>
  </si>
  <si>
    <t>SUR</t>
  </si>
  <si>
    <t>/21</t>
  </si>
  <si>
    <t>/24</t>
  </si>
  <si>
    <t>/22</t>
  </si>
  <si>
    <t>/23</t>
  </si>
  <si>
    <t>/27</t>
  </si>
  <si>
    <t>10.10.7.255</t>
  </si>
  <si>
    <t>10.10.7.254</t>
  </si>
  <si>
    <t>10.10.8.0</t>
  </si>
  <si>
    <t>10.10.8.1</t>
  </si>
  <si>
    <t>10.20.0.0</t>
  </si>
  <si>
    <t>10.20.0.1</t>
  </si>
  <si>
    <t>10.20.1.254</t>
  </si>
  <si>
    <t>10.20.1.255</t>
  </si>
  <si>
    <t>10.20.2.0</t>
  </si>
  <si>
    <t>10.20.2.1</t>
  </si>
  <si>
    <t>10.10.11.254</t>
  </si>
  <si>
    <t>10.10.11.255</t>
  </si>
  <si>
    <t>10.10.12.0</t>
  </si>
  <si>
    <t>10.10.12.1</t>
  </si>
  <si>
    <t>10.10.12.254</t>
  </si>
  <si>
    <t>10.10.12.255</t>
  </si>
  <si>
    <t>10.10.13.0</t>
  </si>
  <si>
    <t>10.10.13.1</t>
  </si>
  <si>
    <t>10.10.13.254</t>
  </si>
  <si>
    <t>10.10.13.255</t>
  </si>
  <si>
    <t>10.10.14.0</t>
  </si>
  <si>
    <t>10.10.14.1</t>
  </si>
  <si>
    <t>10.10.14.126</t>
  </si>
  <si>
    <t>10.10.14.127</t>
  </si>
  <si>
    <t>10.10.14.128</t>
  </si>
  <si>
    <t>10.10.14.129</t>
  </si>
  <si>
    <t>10.10.14.190</t>
  </si>
  <si>
    <t>10.10.14.191</t>
  </si>
  <si>
    <t>10.20.2.254</t>
  </si>
  <si>
    <t>10.20.2.255</t>
  </si>
  <si>
    <t>10.20.3.0</t>
  </si>
  <si>
    <t>10.20.3.1</t>
  </si>
  <si>
    <t>10.20.3.62</t>
  </si>
  <si>
    <t>10.20.3.63</t>
  </si>
  <si>
    <t>10.20.3.64</t>
  </si>
  <si>
    <t>10.20.3.65</t>
  </si>
  <si>
    <t>10.20.3.126</t>
  </si>
  <si>
    <t>10.20.3.127</t>
  </si>
  <si>
    <t>10.20.3.128</t>
  </si>
  <si>
    <t>10.20.3.129</t>
  </si>
  <si>
    <t>10.20.3.160</t>
  </si>
  <si>
    <t>10.20.3.158</t>
  </si>
  <si>
    <t>10.20.3.159</t>
  </si>
  <si>
    <t>10.20.3.161</t>
  </si>
  <si>
    <t>10.20.3.190</t>
  </si>
  <si>
    <t>10.20.3.191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</si>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</sst>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7" xfId="0" applyFont="1" applyBorder="1"/>
    <xf numFmtId="0" fontId="0" fillId="0" borderId="18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0" fillId="0" borderId="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B3943-D1B0-4EEB-B369-3385F8C0ADB9}" name="Tabla1" displayName="Tabla1" ref="B2:I20" totalsRowShown="0" headerRowDxfId="11" headerRowBorderDxfId="9" tableBorderDxfId="10" totalsRowBorderDxfId="8">
  <sortState xmlns:xlrd2="http://schemas.microsoft.com/office/spreadsheetml/2017/richdata2" ref="B3:I8">
    <sortCondition descending="1" ref="G2:G8"/>
  </sortState>
  <tableColumns count="8">
    <tableColumn id="1" xr3:uid="{B1C881AC-7E64-4CA2-B4EF-890D4D7DF302}" name="Subred" dataDxfId="7"/>
    <tableColumn id="2" xr3:uid="{DC6EF74C-9E7D-476A-8567-120A9B12520A}" name="Dir. De red" dataDxfId="4"/>
    <tableColumn id="3" xr3:uid="{1B3425AC-2641-4493-9485-49AFF7F5DAC6}" name="Primer host" dataDxfId="3"/>
    <tableColumn id="4" xr3:uid="{6DC735FC-9590-4C80-A5EF-8D719DA238CF}" name="Último host" dataDxfId="2"/>
    <tableColumn id="5" xr3:uid="{A64B4E06-1D89-449D-9EF2-0860EC920A52}" name="IP Broadcast" dataDxfId="0"/>
    <tableColumn id="6" xr3:uid="{8FB59430-698F-4409-9688-30F1AB7212F4}" name="Host est." dataDxfId="1"/>
    <tableColumn id="7" xr3:uid="{5151FEB1-BBED-400F-9CC7-A9C400469C70}" name="Host min. Req" dataDxfId="6"/>
    <tableColumn id="8" xr3:uid="{40E13ECD-FF63-42CB-A7F1-FBD68271FAAA}" name="CIDR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2.42578125" style="1" customWidth="1"/>
    <col min="2" max="2" width="14.5703125" bestFit="1" customWidth="1"/>
    <col min="3" max="3" width="13.140625" customWidth="1"/>
    <col min="4" max="5" width="14.140625" customWidth="1"/>
    <col min="6" max="6" width="14.85546875" customWidth="1"/>
    <col min="7" max="7" width="11.140625" customWidth="1"/>
    <col min="8" max="8" width="16.28515625" customWidth="1"/>
    <col min="12" max="12" width="20.28515625" bestFit="1" customWidth="1"/>
    <col min="14" max="14" width="11.85546875" bestFit="1" customWidth="1"/>
    <col min="15" max="15" width="11.28515625" bestFit="1" customWidth="1"/>
  </cols>
  <sheetData>
    <row r="1" spans="1:15" s="1" customFormat="1" ht="15.75" thickBot="1" x14ac:dyDescent="0.3"/>
    <row r="2" spans="1:15" ht="15.75" customHeight="1" x14ac:dyDescent="0.25">
      <c r="A2" s="28" t="s">
        <v>9</v>
      </c>
      <c r="B2" s="21" t="s">
        <v>0</v>
      </c>
      <c r="C2" s="19" t="s">
        <v>4</v>
      </c>
      <c r="D2" s="3" t="s">
        <v>5</v>
      </c>
      <c r="E2" s="3" t="s">
        <v>6</v>
      </c>
      <c r="F2" s="3" t="s">
        <v>1</v>
      </c>
      <c r="G2" s="3" t="s">
        <v>3</v>
      </c>
      <c r="H2" s="3" t="s">
        <v>2</v>
      </c>
      <c r="I2" s="4" t="s">
        <v>7</v>
      </c>
      <c r="L2" s="33" t="s">
        <v>11</v>
      </c>
      <c r="M2" s="34" t="s">
        <v>74</v>
      </c>
      <c r="N2" s="35" t="s">
        <v>13</v>
      </c>
    </row>
    <row r="3" spans="1:15" x14ac:dyDescent="0.25">
      <c r="A3" s="29"/>
      <c r="B3" s="14" t="s">
        <v>16</v>
      </c>
      <c r="C3" s="20" t="s">
        <v>8</v>
      </c>
      <c r="D3" s="2" t="s">
        <v>10</v>
      </c>
      <c r="E3" s="2" t="s">
        <v>29</v>
      </c>
      <c r="F3" s="2" t="s">
        <v>28</v>
      </c>
      <c r="G3" s="2">
        <v>2000</v>
      </c>
      <c r="H3" s="2">
        <v>2048</v>
      </c>
      <c r="I3" s="5" t="s">
        <v>23</v>
      </c>
      <c r="L3" s="31">
        <f>2^1</f>
        <v>2</v>
      </c>
      <c r="M3" s="2">
        <v>1</v>
      </c>
      <c r="N3" s="5">
        <f>16 + (16 - M3)</f>
        <v>31</v>
      </c>
    </row>
    <row r="4" spans="1:15" x14ac:dyDescent="0.25">
      <c r="A4" s="29"/>
      <c r="B4" s="14" t="s">
        <v>21</v>
      </c>
      <c r="C4" s="20" t="s">
        <v>30</v>
      </c>
      <c r="D4" s="20" t="s">
        <v>31</v>
      </c>
      <c r="E4" s="20" t="s">
        <v>38</v>
      </c>
      <c r="F4" s="12" t="s">
        <v>39</v>
      </c>
      <c r="G4" s="2">
        <v>1000</v>
      </c>
      <c r="H4" s="2">
        <v>1024</v>
      </c>
      <c r="I4" s="5" t="s">
        <v>25</v>
      </c>
      <c r="L4" s="31">
        <f>2^2</f>
        <v>4</v>
      </c>
      <c r="M4" s="2">
        <v>2</v>
      </c>
      <c r="N4" s="5">
        <f>16 + (16 - M4)</f>
        <v>30</v>
      </c>
    </row>
    <row r="5" spans="1:15" x14ac:dyDescent="0.25">
      <c r="A5" s="29"/>
      <c r="B5" s="14" t="s">
        <v>19</v>
      </c>
      <c r="C5" s="20" t="s">
        <v>40</v>
      </c>
      <c r="D5" s="20" t="s">
        <v>41</v>
      </c>
      <c r="E5" s="20" t="s">
        <v>42</v>
      </c>
      <c r="F5" s="20" t="s">
        <v>43</v>
      </c>
      <c r="G5" s="2">
        <v>225</v>
      </c>
      <c r="H5" s="2">
        <v>256</v>
      </c>
      <c r="I5" s="5" t="s">
        <v>24</v>
      </c>
      <c r="L5" s="31">
        <f>2^3</f>
        <v>8</v>
      </c>
      <c r="M5" s="2">
        <v>3</v>
      </c>
      <c r="N5" s="5">
        <f>16 + (16 - M5)</f>
        <v>29</v>
      </c>
    </row>
    <row r="6" spans="1:15" x14ac:dyDescent="0.25">
      <c r="A6" s="29"/>
      <c r="B6" s="14" t="s">
        <v>17</v>
      </c>
      <c r="C6" s="20" t="s">
        <v>44</v>
      </c>
      <c r="D6" s="20" t="s">
        <v>45</v>
      </c>
      <c r="E6" s="20" t="s">
        <v>46</v>
      </c>
      <c r="F6" s="20" t="s">
        <v>47</v>
      </c>
      <c r="G6" s="2">
        <v>200</v>
      </c>
      <c r="H6" s="2">
        <v>256</v>
      </c>
      <c r="I6" s="5" t="s">
        <v>24</v>
      </c>
      <c r="L6" s="31">
        <f>2^4</f>
        <v>16</v>
      </c>
      <c r="M6" s="2">
        <v>4</v>
      </c>
      <c r="N6" s="5">
        <f>16 + (16 - M6)</f>
        <v>28</v>
      </c>
    </row>
    <row r="7" spans="1:15" x14ac:dyDescent="0.25">
      <c r="A7" s="29"/>
      <c r="B7" s="14" t="s">
        <v>18</v>
      </c>
      <c r="C7" s="20" t="s">
        <v>48</v>
      </c>
      <c r="D7" s="20" t="s">
        <v>49</v>
      </c>
      <c r="E7" s="20" t="s">
        <v>50</v>
      </c>
      <c r="F7" s="20" t="s">
        <v>51</v>
      </c>
      <c r="G7" s="2">
        <v>75</v>
      </c>
      <c r="H7" s="2">
        <v>128</v>
      </c>
      <c r="I7" s="5" t="s">
        <v>14</v>
      </c>
      <c r="L7" s="31">
        <f>2^5</f>
        <v>32</v>
      </c>
      <c r="M7" s="2">
        <v>5</v>
      </c>
      <c r="N7" s="5">
        <f>16 + (16 - M7)</f>
        <v>27</v>
      </c>
    </row>
    <row r="8" spans="1:15" ht="18.75" customHeight="1" thickBot="1" x14ac:dyDescent="0.3">
      <c r="A8" s="30"/>
      <c r="B8" s="37" t="s">
        <v>20</v>
      </c>
      <c r="C8" s="38" t="s">
        <v>52</v>
      </c>
      <c r="D8" s="38" t="s">
        <v>53</v>
      </c>
      <c r="E8" s="38" t="s">
        <v>54</v>
      </c>
      <c r="F8" s="38" t="s">
        <v>55</v>
      </c>
      <c r="G8" s="6">
        <v>50</v>
      </c>
      <c r="H8" s="6">
        <v>64</v>
      </c>
      <c r="I8" s="7" t="s">
        <v>15</v>
      </c>
      <c r="L8" s="31">
        <f>2^6</f>
        <v>64</v>
      </c>
      <c r="M8" s="2">
        <v>6</v>
      </c>
      <c r="N8" s="5">
        <f>16 + (16 - M8)</f>
        <v>26</v>
      </c>
    </row>
    <row r="9" spans="1:15" ht="20.25" customHeight="1" x14ac:dyDescent="0.25">
      <c r="A9" s="25" t="s">
        <v>12</v>
      </c>
      <c r="B9" s="39" t="s">
        <v>16</v>
      </c>
      <c r="C9" s="40" t="s">
        <v>32</v>
      </c>
      <c r="D9" s="40" t="s">
        <v>33</v>
      </c>
      <c r="E9" s="23" t="s">
        <v>34</v>
      </c>
      <c r="F9" s="23" t="s">
        <v>35</v>
      </c>
      <c r="G9" s="23">
        <v>500</v>
      </c>
      <c r="H9" s="23">
        <v>512</v>
      </c>
      <c r="I9" s="24" t="s">
        <v>26</v>
      </c>
      <c r="L9" s="31">
        <f>2^7</f>
        <v>128</v>
      </c>
      <c r="M9" s="2">
        <v>7</v>
      </c>
      <c r="N9" s="5">
        <f>16 + (16 - M9)</f>
        <v>25</v>
      </c>
    </row>
    <row r="10" spans="1:15" x14ac:dyDescent="0.25">
      <c r="A10" s="26"/>
      <c r="B10" s="14" t="s">
        <v>21</v>
      </c>
      <c r="C10" s="20" t="s">
        <v>36</v>
      </c>
      <c r="D10" s="20" t="s">
        <v>37</v>
      </c>
      <c r="E10" s="20" t="s">
        <v>56</v>
      </c>
      <c r="F10" s="12" t="s">
        <v>57</v>
      </c>
      <c r="G10" s="2">
        <v>200</v>
      </c>
      <c r="H10" s="2">
        <v>256</v>
      </c>
      <c r="I10" s="5" t="s">
        <v>24</v>
      </c>
      <c r="L10" s="31">
        <f>2^8</f>
        <v>256</v>
      </c>
      <c r="M10" s="2">
        <v>8</v>
      </c>
      <c r="N10" s="5">
        <f>16 + (16 - M10)</f>
        <v>24</v>
      </c>
    </row>
    <row r="11" spans="1:15" x14ac:dyDescent="0.25">
      <c r="A11" s="26"/>
      <c r="B11" s="14" t="s">
        <v>17</v>
      </c>
      <c r="C11" s="20" t="s">
        <v>58</v>
      </c>
      <c r="D11" s="20" t="s">
        <v>59</v>
      </c>
      <c r="E11" s="20" t="s">
        <v>60</v>
      </c>
      <c r="F11" s="20" t="s">
        <v>61</v>
      </c>
      <c r="G11" s="2">
        <v>50</v>
      </c>
      <c r="H11" s="2">
        <v>64</v>
      </c>
      <c r="I11" s="5" t="s">
        <v>15</v>
      </c>
      <c r="L11" s="31">
        <f>2^9</f>
        <v>512</v>
      </c>
      <c r="M11" s="2">
        <v>9</v>
      </c>
      <c r="N11" s="5">
        <f>16 + (16 - M11)</f>
        <v>23</v>
      </c>
    </row>
    <row r="12" spans="1:15" x14ac:dyDescent="0.25">
      <c r="A12" s="26"/>
      <c r="B12" s="14" t="s">
        <v>19</v>
      </c>
      <c r="C12" s="20" t="s">
        <v>62</v>
      </c>
      <c r="D12" s="20" t="s">
        <v>63</v>
      </c>
      <c r="E12" s="20" t="s">
        <v>64</v>
      </c>
      <c r="F12" s="20" t="s">
        <v>65</v>
      </c>
      <c r="G12" s="2">
        <v>50</v>
      </c>
      <c r="H12" s="2">
        <v>64</v>
      </c>
      <c r="I12" s="5" t="s">
        <v>15</v>
      </c>
      <c r="L12" s="31">
        <f>2^10</f>
        <v>1024</v>
      </c>
      <c r="M12" s="2">
        <v>10</v>
      </c>
      <c r="N12" s="5">
        <f>16 + (16 - M12)</f>
        <v>22</v>
      </c>
    </row>
    <row r="13" spans="1:15" ht="15.75" thickBot="1" x14ac:dyDescent="0.3">
      <c r="A13" s="26"/>
      <c r="B13" s="14" t="s">
        <v>18</v>
      </c>
      <c r="C13" s="20" t="s">
        <v>66</v>
      </c>
      <c r="D13" s="20" t="s">
        <v>67</v>
      </c>
      <c r="E13" s="20" t="s">
        <v>69</v>
      </c>
      <c r="F13" s="20" t="s">
        <v>70</v>
      </c>
      <c r="G13" s="2">
        <v>20</v>
      </c>
      <c r="H13" s="2">
        <v>32</v>
      </c>
      <c r="I13" s="5" t="s">
        <v>27</v>
      </c>
      <c r="L13" s="36">
        <f>2^11</f>
        <v>2048</v>
      </c>
      <c r="M13" s="6">
        <v>11</v>
      </c>
      <c r="N13" s="7">
        <f>16 + (16 - M13)</f>
        <v>21</v>
      </c>
    </row>
    <row r="14" spans="1:15" ht="15" customHeight="1" thickBot="1" x14ac:dyDescent="0.3">
      <c r="A14" s="27"/>
      <c r="B14" s="37" t="s">
        <v>20</v>
      </c>
      <c r="C14" s="38" t="s">
        <v>68</v>
      </c>
      <c r="D14" s="38" t="s">
        <v>71</v>
      </c>
      <c r="E14" s="38" t="s">
        <v>72</v>
      </c>
      <c r="F14" s="38" t="s">
        <v>73</v>
      </c>
      <c r="G14" s="6">
        <v>15</v>
      </c>
      <c r="H14" s="6">
        <v>32</v>
      </c>
      <c r="I14" s="7" t="s">
        <v>27</v>
      </c>
      <c r="L14" s="32"/>
      <c r="M14" s="32"/>
      <c r="N14" s="32"/>
      <c r="O14" s="32"/>
    </row>
    <row r="15" spans="1:15" ht="18" customHeight="1" x14ac:dyDescent="0.25">
      <c r="A15" s="25" t="s">
        <v>22</v>
      </c>
      <c r="B15" s="39" t="s">
        <v>16</v>
      </c>
      <c r="C15" s="40" t="s">
        <v>32</v>
      </c>
      <c r="D15" s="40" t="s">
        <v>33</v>
      </c>
      <c r="E15" s="23" t="s">
        <v>34</v>
      </c>
      <c r="F15" s="23" t="s">
        <v>35</v>
      </c>
      <c r="G15" s="23">
        <v>500</v>
      </c>
      <c r="H15" s="23">
        <v>512</v>
      </c>
      <c r="I15" s="24" t="s">
        <v>26</v>
      </c>
    </row>
    <row r="16" spans="1:15" x14ac:dyDescent="0.25">
      <c r="A16" s="26"/>
      <c r="B16" s="14" t="s">
        <v>21</v>
      </c>
      <c r="C16" s="20" t="s">
        <v>36</v>
      </c>
      <c r="D16" s="20" t="s">
        <v>37</v>
      </c>
      <c r="E16" s="20" t="s">
        <v>56</v>
      </c>
      <c r="F16" s="12" t="s">
        <v>57</v>
      </c>
      <c r="G16" s="2">
        <v>200</v>
      </c>
      <c r="H16" s="2">
        <v>256</v>
      </c>
      <c r="I16" s="5" t="s">
        <v>24</v>
      </c>
    </row>
    <row r="17" spans="1:9" x14ac:dyDescent="0.25">
      <c r="A17" s="26"/>
      <c r="B17" s="14" t="s">
        <v>17</v>
      </c>
      <c r="C17" s="20" t="s">
        <v>58</v>
      </c>
      <c r="D17" s="20" t="s">
        <v>59</v>
      </c>
      <c r="E17" s="20" t="s">
        <v>60</v>
      </c>
      <c r="F17" s="20" t="s">
        <v>61</v>
      </c>
      <c r="G17" s="2">
        <v>50</v>
      </c>
      <c r="H17" s="2">
        <v>64</v>
      </c>
      <c r="I17" s="5" t="s">
        <v>15</v>
      </c>
    </row>
    <row r="18" spans="1:9" x14ac:dyDescent="0.25">
      <c r="A18" s="26"/>
      <c r="B18" s="14" t="s">
        <v>19</v>
      </c>
      <c r="C18" s="20" t="s">
        <v>62</v>
      </c>
      <c r="D18" s="20" t="s">
        <v>63</v>
      </c>
      <c r="E18" s="20" t="s">
        <v>64</v>
      </c>
      <c r="F18" s="20" t="s">
        <v>65</v>
      </c>
      <c r="G18" s="2">
        <v>50</v>
      </c>
      <c r="H18" s="2">
        <v>64</v>
      </c>
      <c r="I18" s="5" t="s">
        <v>15</v>
      </c>
    </row>
    <row r="19" spans="1:9" x14ac:dyDescent="0.25">
      <c r="A19" s="26"/>
      <c r="B19" s="14" t="s">
        <v>18</v>
      </c>
      <c r="C19" s="20" t="s">
        <v>66</v>
      </c>
      <c r="D19" s="20" t="s">
        <v>67</v>
      </c>
      <c r="E19" s="20" t="s">
        <v>69</v>
      </c>
      <c r="F19" s="20" t="s">
        <v>70</v>
      </c>
      <c r="G19" s="2">
        <v>20</v>
      </c>
      <c r="H19" s="2">
        <v>32</v>
      </c>
      <c r="I19" s="5" t="s">
        <v>27</v>
      </c>
    </row>
    <row r="20" spans="1:9" ht="15.75" thickBot="1" x14ac:dyDescent="0.3">
      <c r="A20" s="27"/>
      <c r="B20" s="37" t="s">
        <v>20</v>
      </c>
      <c r="C20" s="38" t="s">
        <v>68</v>
      </c>
      <c r="D20" s="38" t="s">
        <v>71</v>
      </c>
      <c r="E20" s="38" t="s">
        <v>72</v>
      </c>
      <c r="F20" s="38" t="s">
        <v>73</v>
      </c>
      <c r="G20" s="6">
        <v>15</v>
      </c>
      <c r="H20" s="6">
        <v>32</v>
      </c>
      <c r="I20" s="7" t="s">
        <v>27</v>
      </c>
    </row>
  </sheetData>
  <mergeCells count="3">
    <mergeCell ref="A2:A8"/>
    <mergeCell ref="A9:A14"/>
    <mergeCell ref="A15:A2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5525-5A20-45FD-AE14-2AC5AC7891C2}">
  <dimension ref="A1:J7"/>
  <sheetViews>
    <sheetView workbookViewId="0">
      <selection sqref="A1:H7"/>
    </sheetView>
  </sheetViews>
  <sheetFormatPr baseColWidth="10" defaultRowHeight="15" x14ac:dyDescent="0.25"/>
  <cols>
    <col min="1" max="1" width="14.5703125" bestFit="1" customWidth="1"/>
  </cols>
  <sheetData>
    <row r="1" spans="1:10" ht="16.5" thickBot="1" x14ac:dyDescent="0.3">
      <c r="A1" s="21" t="s">
        <v>0</v>
      </c>
      <c r="B1" s="19" t="s">
        <v>4</v>
      </c>
      <c r="C1" s="3" t="s">
        <v>5</v>
      </c>
      <c r="D1" s="3" t="s">
        <v>6</v>
      </c>
      <c r="E1" s="3" t="s">
        <v>1</v>
      </c>
      <c r="F1" s="3" t="s">
        <v>3</v>
      </c>
      <c r="G1" s="3" t="s">
        <v>2</v>
      </c>
      <c r="H1" s="4" t="s">
        <v>7</v>
      </c>
    </row>
    <row r="2" spans="1:10" x14ac:dyDescent="0.25">
      <c r="A2" s="22" t="s">
        <v>16</v>
      </c>
      <c r="B2" s="17" t="s">
        <v>32</v>
      </c>
      <c r="C2" s="18" t="s">
        <v>33</v>
      </c>
      <c r="D2" s="18" t="s">
        <v>34</v>
      </c>
      <c r="E2" s="18" t="s">
        <v>35</v>
      </c>
      <c r="F2" s="23">
        <v>500</v>
      </c>
      <c r="G2" s="23">
        <v>512</v>
      </c>
      <c r="H2" s="24" t="s">
        <v>26</v>
      </c>
    </row>
    <row r="3" spans="1:10" x14ac:dyDescent="0.25">
      <c r="A3" s="15" t="s">
        <v>21</v>
      </c>
      <c r="B3" s="9" t="s">
        <v>36</v>
      </c>
      <c r="C3" s="8" t="s">
        <v>37</v>
      </c>
      <c r="D3" s="8" t="s">
        <v>56</v>
      </c>
      <c r="E3" s="8" t="s">
        <v>57</v>
      </c>
      <c r="F3" s="2">
        <v>200</v>
      </c>
      <c r="G3" s="12">
        <v>256</v>
      </c>
      <c r="H3" s="5" t="s">
        <v>24</v>
      </c>
      <c r="J3">
        <f>160/32</f>
        <v>5</v>
      </c>
    </row>
    <row r="4" spans="1:10" x14ac:dyDescent="0.25">
      <c r="A4" s="15" t="s">
        <v>17</v>
      </c>
      <c r="B4" s="9" t="s">
        <v>58</v>
      </c>
      <c r="C4" s="8" t="s">
        <v>59</v>
      </c>
      <c r="D4" s="8" t="s">
        <v>60</v>
      </c>
      <c r="E4" s="8" t="s">
        <v>61</v>
      </c>
      <c r="F4" s="2">
        <v>50</v>
      </c>
      <c r="G4" s="2">
        <v>64</v>
      </c>
      <c r="H4" s="5" t="s">
        <v>15</v>
      </c>
    </row>
    <row r="5" spans="1:10" x14ac:dyDescent="0.25">
      <c r="A5" s="15" t="s">
        <v>19</v>
      </c>
      <c r="B5" s="9" t="s">
        <v>62</v>
      </c>
      <c r="C5" s="8" t="s">
        <v>63</v>
      </c>
      <c r="D5" s="8" t="s">
        <v>64</v>
      </c>
      <c r="E5" s="8" t="s">
        <v>65</v>
      </c>
      <c r="F5" s="2">
        <v>50</v>
      </c>
      <c r="G5" s="2">
        <v>64</v>
      </c>
      <c r="H5" s="5" t="s">
        <v>15</v>
      </c>
    </row>
    <row r="6" spans="1:10" x14ac:dyDescent="0.25">
      <c r="A6" s="15" t="s">
        <v>18</v>
      </c>
      <c r="B6" s="9" t="s">
        <v>66</v>
      </c>
      <c r="C6" s="8" t="s">
        <v>67</v>
      </c>
      <c r="D6" s="8" t="s">
        <v>69</v>
      </c>
      <c r="E6" s="8" t="s">
        <v>70</v>
      </c>
      <c r="F6" s="2">
        <v>20</v>
      </c>
      <c r="G6" s="12">
        <v>32</v>
      </c>
      <c r="H6" s="5" t="s">
        <v>27</v>
      </c>
    </row>
    <row r="7" spans="1:10" ht="15.75" thickBot="1" x14ac:dyDescent="0.3">
      <c r="A7" s="16" t="s">
        <v>20</v>
      </c>
      <c r="B7" s="10" t="s">
        <v>68</v>
      </c>
      <c r="C7" s="11" t="s">
        <v>71</v>
      </c>
      <c r="D7" s="11" t="s">
        <v>72</v>
      </c>
      <c r="E7" s="11" t="s">
        <v>73</v>
      </c>
      <c r="F7" s="6">
        <v>15</v>
      </c>
      <c r="G7" s="13">
        <v>32</v>
      </c>
      <c r="H7" s="7" t="s">
        <v>27</v>
      </c>
    </row>
  </sheetData>
  <autoFilter ref="A1:H7" xr:uid="{32505525-5A20-45FD-AE14-2AC5AC7891C2}">
    <sortState xmlns:xlrd2="http://schemas.microsoft.com/office/spreadsheetml/2017/richdata2" ref="A2:H7">
      <sortCondition descending="1" ref="F1:F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DA35-066B-47E2-8967-AEEF5C4D521E}">
  <dimension ref="A1:H7"/>
  <sheetViews>
    <sheetView workbookViewId="0">
      <selection sqref="A1:H7"/>
    </sheetView>
  </sheetViews>
  <sheetFormatPr baseColWidth="10" defaultRowHeight="15" x14ac:dyDescent="0.25"/>
  <sheetData>
    <row r="1" spans="1:8" ht="16.5" thickBot="1" x14ac:dyDescent="0.3">
      <c r="A1" s="21" t="s">
        <v>0</v>
      </c>
      <c r="B1" s="19" t="s">
        <v>4</v>
      </c>
      <c r="C1" s="3" t="s">
        <v>5</v>
      </c>
      <c r="D1" s="3" t="s">
        <v>6</v>
      </c>
      <c r="E1" s="3" t="s">
        <v>1</v>
      </c>
      <c r="F1" s="3" t="s">
        <v>3</v>
      </c>
      <c r="G1" s="3" t="s">
        <v>2</v>
      </c>
      <c r="H1" s="4" t="s">
        <v>7</v>
      </c>
    </row>
    <row r="2" spans="1:8" x14ac:dyDescent="0.25">
      <c r="A2" s="22" t="s">
        <v>16</v>
      </c>
      <c r="B2" s="17" t="s">
        <v>32</v>
      </c>
      <c r="C2" s="18" t="s">
        <v>33</v>
      </c>
      <c r="D2" s="18" t="s">
        <v>34</v>
      </c>
      <c r="E2" s="18" t="s">
        <v>35</v>
      </c>
      <c r="F2" s="23">
        <v>500</v>
      </c>
      <c r="G2" s="23">
        <v>512</v>
      </c>
      <c r="H2" s="24" t="s">
        <v>26</v>
      </c>
    </row>
    <row r="3" spans="1:8" x14ac:dyDescent="0.25">
      <c r="A3" s="15" t="s">
        <v>21</v>
      </c>
      <c r="B3" s="9" t="s">
        <v>36</v>
      </c>
      <c r="C3" s="8" t="s">
        <v>37</v>
      </c>
      <c r="D3" s="8" t="s">
        <v>56</v>
      </c>
      <c r="E3" s="8" t="s">
        <v>57</v>
      </c>
      <c r="F3" s="2">
        <v>200</v>
      </c>
      <c r="G3" s="12">
        <v>256</v>
      </c>
      <c r="H3" s="5" t="s">
        <v>24</v>
      </c>
    </row>
    <row r="4" spans="1:8" x14ac:dyDescent="0.25">
      <c r="A4" s="15" t="s">
        <v>17</v>
      </c>
      <c r="B4" s="9" t="s">
        <v>58</v>
      </c>
      <c r="C4" s="8" t="s">
        <v>59</v>
      </c>
      <c r="D4" s="8" t="s">
        <v>60</v>
      </c>
      <c r="E4" s="8" t="s">
        <v>61</v>
      </c>
      <c r="F4" s="2">
        <v>50</v>
      </c>
      <c r="G4" s="2">
        <v>64</v>
      </c>
      <c r="H4" s="5" t="s">
        <v>15</v>
      </c>
    </row>
    <row r="5" spans="1:8" x14ac:dyDescent="0.25">
      <c r="A5" s="15" t="s">
        <v>19</v>
      </c>
      <c r="B5" s="9" t="s">
        <v>62</v>
      </c>
      <c r="C5" s="8" t="s">
        <v>63</v>
      </c>
      <c r="D5" s="8" t="s">
        <v>64</v>
      </c>
      <c r="E5" s="8" t="s">
        <v>65</v>
      </c>
      <c r="F5" s="2">
        <v>50</v>
      </c>
      <c r="G5" s="2">
        <v>64</v>
      </c>
      <c r="H5" s="5" t="s">
        <v>15</v>
      </c>
    </row>
    <row r="6" spans="1:8" x14ac:dyDescent="0.25">
      <c r="A6" s="15" t="s">
        <v>18</v>
      </c>
      <c r="B6" s="9" t="s">
        <v>66</v>
      </c>
      <c r="C6" s="8" t="s">
        <v>67</v>
      </c>
      <c r="D6" s="8" t="s">
        <v>69</v>
      </c>
      <c r="E6" s="8" t="s">
        <v>70</v>
      </c>
      <c r="F6" s="2">
        <v>20</v>
      </c>
      <c r="G6" s="12">
        <v>32</v>
      </c>
      <c r="H6" s="5" t="s">
        <v>27</v>
      </c>
    </row>
    <row r="7" spans="1:8" ht="15.75" thickBot="1" x14ac:dyDescent="0.3">
      <c r="A7" s="16" t="s">
        <v>20</v>
      </c>
      <c r="B7" s="10" t="s">
        <v>68</v>
      </c>
      <c r="C7" s="11" t="s">
        <v>71</v>
      </c>
      <c r="D7" s="11" t="s">
        <v>72</v>
      </c>
      <c r="E7" s="11" t="s">
        <v>73</v>
      </c>
      <c r="F7" s="6">
        <v>15</v>
      </c>
      <c r="G7" s="13">
        <v>32</v>
      </c>
      <c r="H7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CABA</vt:lpstr>
      <vt:lpstr>Sede Norte</vt:lpstr>
      <vt:lpstr>Sede 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Duarte</dc:creator>
  <cp:lastModifiedBy>Mauro Duarte</cp:lastModifiedBy>
  <dcterms:created xsi:type="dcterms:W3CDTF">2015-06-05T18:19:34Z</dcterms:created>
  <dcterms:modified xsi:type="dcterms:W3CDTF">2026-06-02T14:31:26Z</dcterms:modified>
</cp:coreProperties>
</file>